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eathlee/Workspace/Sensor-boi/"/>
    </mc:Choice>
  </mc:AlternateContent>
  <xr:revisionPtr revIDLastSave="0" documentId="8_{AA5DAF38-A957-034E-9149-A20B80828917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BOM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5" i="1" l="1"/>
  <c r="J64" i="1"/>
  <c r="J63" i="1"/>
  <c r="J62" i="1"/>
  <c r="J61" i="1"/>
  <c r="J60" i="1"/>
  <c r="J59" i="1"/>
  <c r="J58" i="1"/>
  <c r="J56" i="1"/>
  <c r="J55" i="1"/>
  <c r="J54" i="1"/>
  <c r="J53" i="1"/>
  <c r="J52" i="1"/>
  <c r="J50" i="1"/>
  <c r="J49" i="1"/>
  <c r="J48" i="1"/>
  <c r="J47" i="1"/>
  <c r="J46" i="1"/>
  <c r="J45" i="1"/>
  <c r="J44" i="1"/>
  <c r="J43" i="1"/>
  <c r="J42" i="1"/>
  <c r="J41" i="1"/>
  <c r="J40" i="1"/>
  <c r="J38" i="1"/>
  <c r="J37" i="1"/>
  <c r="J36" i="1"/>
  <c r="J34" i="1"/>
  <c r="J33" i="1"/>
  <c r="J32" i="1"/>
  <c r="J31" i="1"/>
  <c r="J30" i="1"/>
  <c r="J29" i="1"/>
  <c r="J28" i="1"/>
  <c r="J27" i="1"/>
  <c r="J26" i="1"/>
  <c r="J25" i="1"/>
  <c r="J23" i="1"/>
  <c r="J22" i="1"/>
  <c r="J21" i="1"/>
  <c r="J20" i="1"/>
  <c r="J19" i="1"/>
  <c r="J18" i="1"/>
  <c r="J16" i="1"/>
  <c r="J15" i="1"/>
  <c r="J14" i="1"/>
  <c r="J13" i="1"/>
  <c r="J12" i="1"/>
  <c r="J10" i="1"/>
  <c r="J9" i="1"/>
  <c r="J8" i="1"/>
  <c r="J6" i="1"/>
</calcChain>
</file>

<file path=xl/sharedStrings.xml><?xml version="1.0" encoding="utf-8"?>
<sst xmlns="http://schemas.openxmlformats.org/spreadsheetml/2006/main" count="501" uniqueCount="250">
  <si>
    <t>Engine Sensor Box — Master BOM</t>
  </si>
  <si>
    <t>Rev 0.1  |  Subs applied: ADUM3401→ISO7741DWR  ·  MPX4115AP→MPXHZ6115A6T1</t>
  </si>
  <si>
    <t>Subsystem</t>
  </si>
  <si>
    <t>Designator</t>
  </si>
  <si>
    <t>Part / Value</t>
  </si>
  <si>
    <t>Qty</t>
  </si>
  <si>
    <t>Package</t>
  </si>
  <si>
    <t>LCSC #</t>
  </si>
  <si>
    <t>Supply status</t>
  </si>
  <si>
    <t>Est. stock</t>
  </si>
  <si>
    <t>Unit cost (€)</t>
  </si>
  <si>
    <t>Ext cost (€)</t>
  </si>
  <si>
    <t>Purpose / notes</t>
  </si>
  <si>
    <t>Placed?</t>
  </si>
  <si>
    <t>Placement notes</t>
  </si>
  <si>
    <t>MCU</t>
  </si>
  <si>
    <t>U1</t>
  </si>
  <si>
    <t>ESP32-WROOM-32U-N4</t>
  </si>
  <si>
    <t>SMD 18×19.2mm</t>
  </si>
  <si>
    <t>C328062</t>
  </si>
  <si>
    <t>In stock</t>
  </si>
  <si>
    <t>2 000+</t>
  </si>
  <si>
    <t>Main MCU — dual-core 240 MHz, WiFi, BLE, TWAI CAN, SPI, 12-bit ADC, u.FL antenna</t>
  </si>
  <si>
    <t>☐</t>
  </si>
  <si>
    <t>THERMOCOUPLE</t>
  </si>
  <si>
    <t>Thermocouple</t>
  </si>
  <si>
    <t>U2</t>
  </si>
  <si>
    <t>MAX31856MUD+T</t>
  </si>
  <si>
    <t>MSOP-10</t>
  </si>
  <si>
    <t>C2653162</t>
  </si>
  <si>
    <t>Watch</t>
  </si>
  <si>
    <t>~1 980</t>
  </si>
  <si>
    <t>Thermocouple amplifier — SPI, cold-junction comp, 50/60 Hz notch filter, K-type</t>
  </si>
  <si>
    <t>U3</t>
  </si>
  <si>
    <t>ISO7741DWR</t>
  </si>
  <si>
    <t>SOIC-16</t>
  </si>
  <si>
    <t>C571196</t>
  </si>
  <si>
    <t>Swapped</t>
  </si>
  <si>
    <t>5 742</t>
  </si>
  <si>
    <t>4-ch digital isolator — galvanic SPI isolation (sub for ADUM3401ARWZ, pin-compat)</t>
  </si>
  <si>
    <t>U4</t>
  </si>
  <si>
    <t>B0505LS-1WR3</t>
  </si>
  <si>
    <t>SIP-4</t>
  </si>
  <si>
    <t>C7465180</t>
  </si>
  <si>
    <t>7 932</t>
  </si>
  <si>
    <t>Isolated 5V DC-DC — powers thermocouple side independently from main GND</t>
  </si>
  <si>
    <t>RPM</t>
  </si>
  <si>
    <t>U5</t>
  </si>
  <si>
    <t>6N137S</t>
  </si>
  <si>
    <t>SOIC-8</t>
  </si>
  <si>
    <t>C6553</t>
  </si>
  <si>
    <t>10 000+</t>
  </si>
  <si>
    <t>High-speed optocoupler — isolates ignition coil transients from MCU logic</t>
  </si>
  <si>
    <t>D1</t>
  </si>
  <si>
    <t>P6KE15A</t>
  </si>
  <si>
    <t>DO-214AA</t>
  </si>
  <si>
    <t>C514442</t>
  </si>
  <si>
    <t>5 000+</t>
  </si>
  <si>
    <t>1.5 kW TVS — first-stage spike clamp on ignition coil input</t>
  </si>
  <si>
    <t>D2</t>
  </si>
  <si>
    <t>BZX84C5V1</t>
  </si>
  <si>
    <t>SOT-23</t>
  </si>
  <si>
    <t>C181144</t>
  </si>
  <si>
    <t>Basic part</t>
  </si>
  <si>
    <t>100 000+</t>
  </si>
  <si>
    <t>5.1V zener — clamps ignition input before 6N137 LED drive resistor</t>
  </si>
  <si>
    <t>R1</t>
  </si>
  <si>
    <t>100 kΩ 0402</t>
  </si>
  <si>
    <t>0402</t>
  </si>
  <si>
    <t>—</t>
  </si>
  <si>
    <t>∞</t>
  </si>
  <si>
    <t>Pull-up on 6N137 collector output to 3.3V</t>
  </si>
  <si>
    <t>R2</t>
  </si>
  <si>
    <t>470 Ω 0402</t>
  </si>
  <si>
    <t>Current-limiting resistor for 6N137 LED input</t>
  </si>
  <si>
    <t>WHEEL SPEED</t>
  </si>
  <si>
    <t>Wheel speed</t>
  </si>
  <si>
    <t>U6</t>
  </si>
  <si>
    <t>AH3144E-SA-7-B</t>
  </si>
  <si>
    <t>TO-92S</t>
  </si>
  <si>
    <t>C10681</t>
  </si>
  <si>
    <t>Separate</t>
  </si>
  <si>
    <t>Hall sensor — open-collector, remote-mounted at wheel. Order sep, hand-solder.</t>
  </si>
  <si>
    <t>U7</t>
  </si>
  <si>
    <t>74LVC1G14GW</t>
  </si>
  <si>
    <t>SOT-353</t>
  </si>
  <si>
    <t>C155655</t>
  </si>
  <si>
    <t>50 000+</t>
  </si>
  <si>
    <t>Schmitt trigger — cleans noisy edges from long cable run, 0.6V hysteresis</t>
  </si>
  <si>
    <t>D3</t>
  </si>
  <si>
    <t>PRTR5V0U2X,215</t>
  </si>
  <si>
    <t>SOT-363</t>
  </si>
  <si>
    <t>C12333</t>
  </si>
  <si>
    <t>20 000+</t>
  </si>
  <si>
    <t>Dual TVS ESD array — clamps wheel speed GPIO input line</t>
  </si>
  <si>
    <t>R3</t>
  </si>
  <si>
    <t>10 kΩ 0402</t>
  </si>
  <si>
    <t>Hall sensor pull-up at sensor end, biases open-collector output</t>
  </si>
  <si>
    <t>R4</t>
  </si>
  <si>
    <t>100 Ω 0402</t>
  </si>
  <si>
    <t>Series filter resistor at PCB entry — fc ≈ 16 kHz with C1</t>
  </si>
  <si>
    <t>C1</t>
  </si>
  <si>
    <t>100 nF 0402 X7R</t>
  </si>
  <si>
    <t>C307331</t>
  </si>
  <si>
    <t>RC filter bypass cap — paired with R4, kills ignition-band noise</t>
  </si>
  <si>
    <t>ANALOG</t>
  </si>
  <si>
    <t>Analog</t>
  </si>
  <si>
    <t>U8</t>
  </si>
  <si>
    <t>MPXHZ6115A6T1</t>
  </si>
  <si>
    <t>SOP-8</t>
  </si>
  <si>
    <t>C3235759</t>
  </si>
  <si>
    <t>348</t>
  </si>
  <si>
    <t>MAP sensor 15–115 kPa SMD — JLCPCB assemblable (sub for MPX4115AP DIP)</t>
  </si>
  <si>
    <t>R5</t>
  </si>
  <si>
    <t>1 kΩ 0402</t>
  </si>
  <si>
    <t>Series RC filter on MAP output — fc ≈ 16 kHz</t>
  </si>
  <si>
    <t>R6</t>
  </si>
  <si>
    <t>MAP voltage divider top — scales 4.7V max to ≤3.3V for ESP32 ADC</t>
  </si>
  <si>
    <t>R7</t>
  </si>
  <si>
    <t>18 kΩ 0402</t>
  </si>
  <si>
    <t>MAP voltage divider bottom</t>
  </si>
  <si>
    <t>C2</t>
  </si>
  <si>
    <t>10 nF 0402</t>
  </si>
  <si>
    <t>RC filter cap on MAP output</t>
  </si>
  <si>
    <t>C3</t>
  </si>
  <si>
    <t>ADC bypass cap at MAP divider midpoint</t>
  </si>
  <si>
    <t>R8</t>
  </si>
  <si>
    <t>180 Ω 1% 0402</t>
  </si>
  <si>
    <t>NTC oil temp upper divider — precision 1% for R-T conversion accuracy</t>
  </si>
  <si>
    <t>R9</t>
  </si>
  <si>
    <t>100 kΩ 1% 0402</t>
  </si>
  <si>
    <t>Battery voltage divider top — scales 0–15V to 0–2.6V for ADC</t>
  </si>
  <si>
    <t>R10</t>
  </si>
  <si>
    <t>22 kΩ 1% 0402</t>
  </si>
  <si>
    <t>Battery voltage divider bottom</t>
  </si>
  <si>
    <t>D4</t>
  </si>
  <si>
    <t>BZX84C3V3</t>
  </si>
  <si>
    <t>C181141</t>
  </si>
  <si>
    <t>3.3V zener — hard clamp on battery voltage ADC pin</t>
  </si>
  <si>
    <t>CAN</t>
  </si>
  <si>
    <t>U9</t>
  </si>
  <si>
    <t>SN65HVD230DR</t>
  </si>
  <si>
    <t>C113987</t>
  </si>
  <si>
    <t>3.3V CAN transceiver — ISO 11898, pairs directly with ESP32 TWAI</t>
  </si>
  <si>
    <t>D5</t>
  </si>
  <si>
    <t>PESD2CAN,215</t>
  </si>
  <si>
    <t>C154297</t>
  </si>
  <si>
    <t>15 000+</t>
  </si>
  <si>
    <t>Dual-line CAN ESD protection — clamps CANH and CANL</t>
  </si>
  <si>
    <t>R11</t>
  </si>
  <si>
    <t>120 Ω 0402</t>
  </si>
  <si>
    <t>CAN bus termination — populate only if this node is a bus endpoint</t>
  </si>
  <si>
    <t>POWER</t>
  </si>
  <si>
    <t>Power</t>
  </si>
  <si>
    <t>U10</t>
  </si>
  <si>
    <t>LM2596S-5.0</t>
  </si>
  <si>
    <t>C347553</t>
  </si>
  <si>
    <t>3A step-down buck — 12V→5V at ~87% efficiency, main power stage</t>
  </si>
  <si>
    <t>U11</t>
  </si>
  <si>
    <t>AMS1117-3.3</t>
  </si>
  <si>
    <t>SOT-223</t>
  </si>
  <si>
    <t>C347222</t>
  </si>
  <si>
    <t>500 000+</t>
  </si>
  <si>
    <t>800mA LDO — 5V→3.3V post-regulator, rejects buck switching noise</t>
  </si>
  <si>
    <t>L1</t>
  </si>
  <si>
    <t>100 µH SWPA8040S</t>
  </si>
  <si>
    <t>SMD 8×8mm</t>
  </si>
  <si>
    <t>C408544</t>
  </si>
  <si>
    <t>3 000+</t>
  </si>
  <si>
    <t>Buck inductor — 4A rated, energy storage element for LM2596S</t>
  </si>
  <si>
    <t>D6</t>
  </si>
  <si>
    <t>SS14</t>
  </si>
  <si>
    <t>DO-214AC</t>
  </si>
  <si>
    <t>C2480</t>
  </si>
  <si>
    <t>Schottky OR-ing diodes — 12V buck and USB 5V rails, no contention</t>
  </si>
  <si>
    <t>D7</t>
  </si>
  <si>
    <t>SMBJ15A</t>
  </si>
  <si>
    <t>C15092</t>
  </si>
  <si>
    <t>TVS input clamp — absorbs automotive load dump transients to ~30V</t>
  </si>
  <si>
    <t>Q1</t>
  </si>
  <si>
    <t>IRF9540N</t>
  </si>
  <si>
    <t>TO-220</t>
  </si>
  <si>
    <t>C338461</t>
  </si>
  <si>
    <t>P-ch MOSFET reverse polarity — zero drop, 23A. TO-220, hand-solder.</t>
  </si>
  <si>
    <t>C4</t>
  </si>
  <si>
    <t>220 µF 25V elec.</t>
  </si>
  <si>
    <t>Through-hole</t>
  </si>
  <si>
    <t>C80574</t>
  </si>
  <si>
    <t>Buck output bulk cap — smooths 5V rail ripple. Through-hole, hand-solder.</t>
  </si>
  <si>
    <t>C5</t>
  </si>
  <si>
    <t>10 µF 0603 X5R</t>
  </si>
  <si>
    <t>0603</t>
  </si>
  <si>
    <t>C19702</t>
  </si>
  <si>
    <t>LDO input and output caps — AMS1117 stability requirement</t>
  </si>
  <si>
    <t>C6</t>
  </si>
  <si>
    <t>High-freq bypass — both sides of AMS1117 and ESP32 VCC pins</t>
  </si>
  <si>
    <t>R12</t>
  </si>
  <si>
    <t>IRF9540 gate pull-down — biases MOSFET on at power-up</t>
  </si>
  <si>
    <t>D8</t>
  </si>
  <si>
    <t>1N5822</t>
  </si>
  <si>
    <t>DO-201</t>
  </si>
  <si>
    <t>C35722</t>
  </si>
  <si>
    <t>Buck freewheeling diode — low Vf fast recovery. DO-201, hand-solder.</t>
  </si>
  <si>
    <t>USB</t>
  </si>
  <si>
    <t>U12</t>
  </si>
  <si>
    <t>CP2102N-A02-GQFN24R</t>
  </si>
  <si>
    <t>QFN-24</t>
  </si>
  <si>
    <t>C969151</t>
  </si>
  <si>
    <t>USB-to-UART bridge — programs ESP32 over USB-C, 3.3V native IO</t>
  </si>
  <si>
    <t>J1</t>
  </si>
  <si>
    <t>USB4085-GF-A</t>
  </si>
  <si>
    <t>SMD</t>
  </si>
  <si>
    <t>C7095263</t>
  </si>
  <si>
    <t>1 766</t>
  </si>
  <si>
    <t>USB-C connector — USB 2.0, robust shell, firmware programming port</t>
  </si>
  <si>
    <t>Q2</t>
  </si>
  <si>
    <t>2N7002</t>
  </si>
  <si>
    <t>C8545</t>
  </si>
  <si>
    <t>Auto-reset MOSFETs — CP2102N RTS/DTR drives EN/GPIO0 for bootloader entry</t>
  </si>
  <si>
    <t>R13</t>
  </si>
  <si>
    <t>5.1 kΩ 0402</t>
  </si>
  <si>
    <t>USB-C CC pull-downs — mandatory for host to supply 5V/500mA</t>
  </si>
  <si>
    <t>C7</t>
  </si>
  <si>
    <t>Decoupling on CP2102N VDD and VBUS pins</t>
  </si>
  <si>
    <t>MECHANICAL</t>
  </si>
  <si>
    <t>Mechanical</t>
  </si>
  <si>
    <t>IP65 ABS enclosure</t>
  </si>
  <si>
    <t>Sealed enclosure — protects PCB from oil, water, engine-bay vibration</t>
  </si>
  <si>
    <t>Cable glands M12 ×4</t>
  </si>
  <si>
    <t>Waterproof cable entry — power, CAN, sensors, antenna</t>
  </si>
  <si>
    <t>u.FL to SMA pigtail</t>
  </si>
  <si>
    <t>Antenna extension cable — routes ESP32 RF to SMA on enclosure wall</t>
  </si>
  <si>
    <t>2.4 GHz ext. antenna</t>
  </si>
  <si>
    <t>External WiFi/BLE antenna — full-vehicle wireless range</t>
  </si>
  <si>
    <t>Deutsch DT connectors</t>
  </si>
  <si>
    <t>Automotive IP67 connectors — vibration-proof, motorsport standard</t>
  </si>
  <si>
    <t>PCB 4-layer JLCPCB</t>
  </si>
  <si>
    <t>4-layer stackup signal/GND/PWR/signal — 100-piece run</t>
  </si>
  <si>
    <t>Conformal coat + label</t>
  </si>
  <si>
    <t>Moisture protection and product identification</t>
  </si>
  <si>
    <t>TOTAL BOM COST (per unit, 100-piece run)</t>
  </si>
  <si>
    <t>LEGEND</t>
  </si>
  <si>
    <t>Meaning</t>
  </si>
  <si>
    <t>Healthy LCSC stock — ready for production run</t>
  </si>
  <si>
    <t>Low stock (&lt;2 000 units) — set LCSC stock alert</t>
  </si>
  <si>
    <t>Original part substituted — see Purpose column for rationale</t>
  </si>
  <si>
    <t>Not JLCPCB SMT assembled — order separately, hand-solder</t>
  </si>
  <si>
    <t>JLCPCB pre-loaded feeder — no extra setup fee</t>
  </si>
  <si>
    <t>Mark ✓ when placed in KiCad schematic</t>
  </si>
  <si>
    <t>Record sheet, refdes, or deviations from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</si>
</sst>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3C3489"/>
      <name val="Arial"/>
      <charset val="1"/>
    </font>
    <font>
      <sz val="10"/>
      <name val="Arial"/>
      <charset val="1"/>
    </font>
    <font>
      <b/>
      <sz val="9"/>
      <color rgb="FF085041"/>
      <name val="Arial"/>
      <charset val="1"/>
    </font>
    <font>
      <sz val="12"/>
      <name val="Arial"/>
      <charset val="1"/>
    </font>
    <font>
      <b/>
      <sz val="9"/>
      <color rgb="FF633806"/>
      <name val="Arial"/>
      <charset val="1"/>
    </font>
    <font>
      <b/>
      <sz val="9"/>
      <color rgb="FF0C447C"/>
      <name val="Arial"/>
      <charset val="1"/>
    </font>
    <font>
      <b/>
      <sz val="9"/>
      <color rgb="FF501313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4F46B8"/>
        <bgColor rgb="FF3C3489"/>
      </patternFill>
    </fill>
    <fill>
      <patternFill patternType="solid">
        <fgColor rgb="FFEEEDFE"/>
        <bgColor rgb="FFE6F1FB"/>
      </patternFill>
    </fill>
    <fill>
      <patternFill patternType="solid">
        <fgColor rgb="FFFFFFFF"/>
        <bgColor rgb="FFF7F7F5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CEBEB"/>
      </patternFill>
    </fill>
    <fill>
      <patternFill patternType="solid">
        <fgColor rgb="FFF7F7F5"/>
        <bgColor rgb="FFFFFFFF"/>
      </patternFill>
    </fill>
    <fill>
      <patternFill patternType="solid">
        <fgColor rgb="FFE6F1FB"/>
        <bgColor rgb="FFEEEDFE"/>
      </patternFill>
    </fill>
    <fill>
      <patternFill patternType="solid">
        <fgColor rgb="FFFCEBEB"/>
        <bgColor rgb="FFFAEEDA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2" fillId="2" borderId="2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 vertical="center" indent="1"/>
    </xf>
    <xf numFmtId="0" fontId="4" fillId="3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131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7F7F5"/>
      <rgbColor rgb="FFFCEBEB"/>
      <rgbColor rgb="FF99CCFF"/>
      <rgbColor rgb="FFFF99CC"/>
      <rgbColor rgb="FFCC99FF"/>
      <rgbColor rgb="FFEEEDFE"/>
      <rgbColor rgb="FF4F46B8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085041"/>
      <rgbColor rgb="FF633806"/>
      <rgbColor rgb="FF993300"/>
      <rgbColor rgb="FF993366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zoomScaleNormal="100" workbookViewId="0">
      <pane ySplit="4" topLeftCell="A5" activePane="bottomLeft" state="frozen"/>
      <selection pane="bottomLeft" sqref="A1:M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26" customWidth="1"/>
    <col min="4" max="4" width="5" customWidth="1"/>
    <col min="5" max="6" width="14" customWidth="1"/>
    <col min="7" max="7" width="12" customWidth="1"/>
    <col min="8" max="8" width="10" customWidth="1"/>
    <col min="9" max="9" width="12" customWidth="1"/>
    <col min="10" max="10" width="11" customWidth="1"/>
    <col min="11" max="11" width="46" customWidth="1"/>
    <col min="12" max="12" width="9" customWidth="1"/>
    <col min="13" max="13" width="26" customWidth="1"/>
  </cols>
  <sheetData>
    <row r="1" spans="1:13" ht="27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6" customHeight="1" x14ac:dyDescent="0.2"/>
    <row r="4" spans="1:13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3" ht="18" customHeight="1" x14ac:dyDescent="0.2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0" customHeight="1" x14ac:dyDescent="0.2">
      <c r="A6" s="7" t="s">
        <v>15</v>
      </c>
      <c r="B6" s="7" t="s">
        <v>16</v>
      </c>
      <c r="C6" s="8" t="s">
        <v>17</v>
      </c>
      <c r="D6" s="7">
        <v>1</v>
      </c>
      <c r="E6" s="7" t="s">
        <v>18</v>
      </c>
      <c r="F6" s="7" t="s">
        <v>19</v>
      </c>
      <c r="G6" s="9" t="s">
        <v>20</v>
      </c>
      <c r="H6" s="7" t="s">
        <v>21</v>
      </c>
      <c r="I6" s="10">
        <v>3.5</v>
      </c>
      <c r="J6" s="10">
        <f>D6*I6</f>
        <v>3.5</v>
      </c>
      <c r="K6" s="8" t="s">
        <v>22</v>
      </c>
      <c r="L6" s="11" t="s">
        <v>23</v>
      </c>
      <c r="M6" s="8"/>
    </row>
    <row r="7" spans="1:13" ht="18" customHeight="1" x14ac:dyDescent="0.2">
      <c r="A7" s="3" t="s">
        <v>24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0" customHeight="1" x14ac:dyDescent="0.2">
      <c r="A8" s="7" t="s">
        <v>25</v>
      </c>
      <c r="B8" s="7" t="s">
        <v>26</v>
      </c>
      <c r="C8" s="8" t="s">
        <v>27</v>
      </c>
      <c r="D8" s="7">
        <v>1</v>
      </c>
      <c r="E8" s="7" t="s">
        <v>28</v>
      </c>
      <c r="F8" s="7" t="s">
        <v>29</v>
      </c>
      <c r="G8" s="12" t="s">
        <v>30</v>
      </c>
      <c r="H8" s="7" t="s">
        <v>31</v>
      </c>
      <c r="I8" s="10">
        <v>6</v>
      </c>
      <c r="J8" s="10">
        <f>D8*I8</f>
        <v>6</v>
      </c>
      <c r="K8" s="8" t="s">
        <v>32</v>
      </c>
      <c r="L8" s="11" t="s">
        <v>23</v>
      </c>
      <c r="M8" s="8"/>
    </row>
    <row r="9" spans="1:13" ht="30" customHeight="1" x14ac:dyDescent="0.2">
      <c r="A9" s="13" t="s">
        <v>25</v>
      </c>
      <c r="B9" s="13" t="s">
        <v>33</v>
      </c>
      <c r="C9" s="14" t="s">
        <v>34</v>
      </c>
      <c r="D9" s="13">
        <v>1</v>
      </c>
      <c r="E9" s="13" t="s">
        <v>35</v>
      </c>
      <c r="F9" s="13" t="s">
        <v>36</v>
      </c>
      <c r="G9" s="15" t="s">
        <v>37</v>
      </c>
      <c r="H9" s="13" t="s">
        <v>38</v>
      </c>
      <c r="I9" s="16">
        <v>0.86</v>
      </c>
      <c r="J9" s="16">
        <f>D9*I9</f>
        <v>0.86</v>
      </c>
      <c r="K9" s="14" t="s">
        <v>39</v>
      </c>
      <c r="L9" s="17" t="s">
        <v>23</v>
      </c>
      <c r="M9" s="14"/>
    </row>
    <row r="10" spans="1:13" ht="30" customHeight="1" x14ac:dyDescent="0.2">
      <c r="A10" s="7" t="s">
        <v>25</v>
      </c>
      <c r="B10" s="7" t="s">
        <v>40</v>
      </c>
      <c r="C10" s="8" t="s">
        <v>41</v>
      </c>
      <c r="D10" s="7">
        <v>1</v>
      </c>
      <c r="E10" s="7" t="s">
        <v>42</v>
      </c>
      <c r="F10" s="7" t="s">
        <v>43</v>
      </c>
      <c r="G10" s="9" t="s">
        <v>20</v>
      </c>
      <c r="H10" s="7" t="s">
        <v>44</v>
      </c>
      <c r="I10" s="10">
        <v>0.4</v>
      </c>
      <c r="J10" s="10">
        <f>D10*I10</f>
        <v>0.4</v>
      </c>
      <c r="K10" s="8" t="s">
        <v>45</v>
      </c>
      <c r="L10" s="11" t="s">
        <v>23</v>
      </c>
      <c r="M10" s="8"/>
    </row>
    <row r="11" spans="1:13" ht="18" customHeight="1" x14ac:dyDescent="0.2">
      <c r="A11" s="3" t="s">
        <v>46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0" customHeight="1" x14ac:dyDescent="0.2">
      <c r="A12" s="7" t="s">
        <v>46</v>
      </c>
      <c r="B12" s="7" t="s">
        <v>47</v>
      </c>
      <c r="C12" s="8" t="s">
        <v>48</v>
      </c>
      <c r="D12" s="7">
        <v>1</v>
      </c>
      <c r="E12" s="7" t="s">
        <v>49</v>
      </c>
      <c r="F12" s="7" t="s">
        <v>50</v>
      </c>
      <c r="G12" s="9" t="s">
        <v>20</v>
      </c>
      <c r="H12" s="7" t="s">
        <v>51</v>
      </c>
      <c r="I12" s="10">
        <v>0.45</v>
      </c>
      <c r="J12" s="10">
        <f>D12*I12</f>
        <v>0.45</v>
      </c>
      <c r="K12" s="8" t="s">
        <v>52</v>
      </c>
      <c r="L12" s="11" t="s">
        <v>23</v>
      </c>
      <c r="M12" s="8"/>
    </row>
    <row r="13" spans="1:13" ht="30" customHeight="1" x14ac:dyDescent="0.2">
      <c r="A13" s="13" t="s">
        <v>46</v>
      </c>
      <c r="B13" s="13" t="s">
        <v>53</v>
      </c>
      <c r="C13" s="14" t="s">
        <v>54</v>
      </c>
      <c r="D13" s="13">
        <v>1</v>
      </c>
      <c r="E13" s="13" t="s">
        <v>55</v>
      </c>
      <c r="F13" s="13" t="s">
        <v>56</v>
      </c>
      <c r="G13" s="9" t="s">
        <v>20</v>
      </c>
      <c r="H13" s="13" t="s">
        <v>57</v>
      </c>
      <c r="I13" s="16">
        <v>0.25</v>
      </c>
      <c r="J13" s="16">
        <f>D13*I13</f>
        <v>0.25</v>
      </c>
      <c r="K13" s="14" t="s">
        <v>58</v>
      </c>
      <c r="L13" s="17" t="s">
        <v>23</v>
      </c>
      <c r="M13" s="14"/>
    </row>
    <row r="14" spans="1:13" ht="30" customHeight="1" x14ac:dyDescent="0.2">
      <c r="A14" s="7" t="s">
        <v>46</v>
      </c>
      <c r="B14" s="7" t="s">
        <v>59</v>
      </c>
      <c r="C14" s="8" t="s">
        <v>60</v>
      </c>
      <c r="D14" s="7">
        <v>1</v>
      </c>
      <c r="E14" s="7" t="s">
        <v>61</v>
      </c>
      <c r="F14" s="7" t="s">
        <v>62</v>
      </c>
      <c r="G14" s="18" t="s">
        <v>63</v>
      </c>
      <c r="H14" s="7" t="s">
        <v>64</v>
      </c>
      <c r="I14" s="10">
        <v>0.05</v>
      </c>
      <c r="J14" s="10">
        <f>D14*I14</f>
        <v>0.05</v>
      </c>
      <c r="K14" s="8" t="s">
        <v>65</v>
      </c>
      <c r="L14" s="11" t="s">
        <v>23</v>
      </c>
      <c r="M14" s="8"/>
    </row>
    <row r="15" spans="1:13" ht="30" customHeight="1" x14ac:dyDescent="0.2">
      <c r="A15" s="13" t="s">
        <v>46</v>
      </c>
      <c r="B15" s="13" t="s">
        <v>66</v>
      </c>
      <c r="C15" s="14" t="s">
        <v>67</v>
      </c>
      <c r="D15" s="13">
        <v>1</v>
      </c>
      <c r="E15" s="13" t="s">
        <v>68</v>
      </c>
      <c r="F15" s="13" t="s">
        <v>69</v>
      </c>
      <c r="G15" s="18" t="s">
        <v>63</v>
      </c>
      <c r="H15" s="13" t="s">
        <v>70</v>
      </c>
      <c r="I15" s="16">
        <v>0.01</v>
      </c>
      <c r="J15" s="16">
        <f>D15*I15</f>
        <v>0.01</v>
      </c>
      <c r="K15" s="14" t="s">
        <v>71</v>
      </c>
      <c r="L15" s="17" t="s">
        <v>23</v>
      </c>
      <c r="M15" s="14"/>
    </row>
    <row r="16" spans="1:13" ht="30" customHeight="1" x14ac:dyDescent="0.2">
      <c r="A16" s="7" t="s">
        <v>46</v>
      </c>
      <c r="B16" s="7" t="s">
        <v>72</v>
      </c>
      <c r="C16" s="8" t="s">
        <v>73</v>
      </c>
      <c r="D16" s="7">
        <v>1</v>
      </c>
      <c r="E16" s="7" t="s">
        <v>68</v>
      </c>
      <c r="F16" s="7" t="s">
        <v>69</v>
      </c>
      <c r="G16" s="18" t="s">
        <v>63</v>
      </c>
      <c r="H16" s="7" t="s">
        <v>70</v>
      </c>
      <c r="I16" s="10">
        <v>0.01</v>
      </c>
      <c r="J16" s="10">
        <f>D16*I16</f>
        <v>0.01</v>
      </c>
      <c r="K16" s="8" t="s">
        <v>74</v>
      </c>
      <c r="L16" s="11" t="s">
        <v>23</v>
      </c>
      <c r="M16" s="8"/>
    </row>
    <row r="17" spans="1:13" ht="18" customHeight="1" x14ac:dyDescent="0.2">
      <c r="A17" s="3" t="s">
        <v>75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30" customHeight="1" x14ac:dyDescent="0.2">
      <c r="A18" s="7" t="s">
        <v>76</v>
      </c>
      <c r="B18" s="7" t="s">
        <v>77</v>
      </c>
      <c r="C18" s="8" t="s">
        <v>78</v>
      </c>
      <c r="D18" s="7">
        <v>1</v>
      </c>
      <c r="E18" s="7" t="s">
        <v>79</v>
      </c>
      <c r="F18" s="7" t="s">
        <v>80</v>
      </c>
      <c r="G18" s="19" t="s">
        <v>81</v>
      </c>
      <c r="H18" s="7" t="s">
        <v>51</v>
      </c>
      <c r="I18" s="10">
        <v>0.35</v>
      </c>
      <c r="J18" s="10">
        <f t="shared" ref="J18:J23" si="0">D18*I18</f>
        <v>0.35</v>
      </c>
      <c r="K18" s="8" t="s">
        <v>82</v>
      </c>
      <c r="L18" s="11" t="s">
        <v>23</v>
      </c>
      <c r="M18" s="8"/>
    </row>
    <row r="19" spans="1:13" ht="30" customHeight="1" x14ac:dyDescent="0.2">
      <c r="A19" s="13" t="s">
        <v>76</v>
      </c>
      <c r="B19" s="13" t="s">
        <v>83</v>
      </c>
      <c r="C19" s="14" t="s">
        <v>84</v>
      </c>
      <c r="D19" s="13">
        <v>1</v>
      </c>
      <c r="E19" s="13" t="s">
        <v>85</v>
      </c>
      <c r="F19" s="13" t="s">
        <v>86</v>
      </c>
      <c r="G19" s="18" t="s">
        <v>63</v>
      </c>
      <c r="H19" s="13" t="s">
        <v>87</v>
      </c>
      <c r="I19" s="16">
        <v>0.15</v>
      </c>
      <c r="J19" s="16">
        <f t="shared" si="0"/>
        <v>0.15</v>
      </c>
      <c r="K19" s="14" t="s">
        <v>88</v>
      </c>
      <c r="L19" s="17" t="s">
        <v>23</v>
      </c>
      <c r="M19" s="14"/>
    </row>
    <row r="20" spans="1:13" ht="30" customHeight="1" x14ac:dyDescent="0.2">
      <c r="A20" s="7" t="s">
        <v>76</v>
      </c>
      <c r="B20" s="7" t="s">
        <v>89</v>
      </c>
      <c r="C20" s="8" t="s">
        <v>90</v>
      </c>
      <c r="D20" s="7">
        <v>1</v>
      </c>
      <c r="E20" s="7" t="s">
        <v>91</v>
      </c>
      <c r="F20" s="7" t="s">
        <v>92</v>
      </c>
      <c r="G20" s="18" t="s">
        <v>63</v>
      </c>
      <c r="H20" s="7" t="s">
        <v>93</v>
      </c>
      <c r="I20" s="10">
        <v>0.1</v>
      </c>
      <c r="J20" s="10">
        <f t="shared" si="0"/>
        <v>0.1</v>
      </c>
      <c r="K20" s="8" t="s">
        <v>94</v>
      </c>
      <c r="L20" s="11" t="s">
        <v>23</v>
      </c>
      <c r="M20" s="8"/>
    </row>
    <row r="21" spans="1:13" ht="30" customHeight="1" x14ac:dyDescent="0.2">
      <c r="A21" s="13" t="s">
        <v>76</v>
      </c>
      <c r="B21" s="13" t="s">
        <v>95</v>
      </c>
      <c r="C21" s="14" t="s">
        <v>96</v>
      </c>
      <c r="D21" s="13">
        <v>1</v>
      </c>
      <c r="E21" s="13" t="s">
        <v>68</v>
      </c>
      <c r="F21" s="13" t="s">
        <v>69</v>
      </c>
      <c r="G21" s="18" t="s">
        <v>63</v>
      </c>
      <c r="H21" s="13" t="s">
        <v>70</v>
      </c>
      <c r="I21" s="16">
        <v>0.01</v>
      </c>
      <c r="J21" s="16">
        <f t="shared" si="0"/>
        <v>0.01</v>
      </c>
      <c r="K21" s="14" t="s">
        <v>97</v>
      </c>
      <c r="L21" s="17" t="s">
        <v>23</v>
      </c>
      <c r="M21" s="14"/>
    </row>
    <row r="22" spans="1:13" ht="30" customHeight="1" x14ac:dyDescent="0.2">
      <c r="A22" s="7" t="s">
        <v>76</v>
      </c>
      <c r="B22" s="7" t="s">
        <v>98</v>
      </c>
      <c r="C22" s="8" t="s">
        <v>99</v>
      </c>
      <c r="D22" s="7">
        <v>1</v>
      </c>
      <c r="E22" s="7" t="s">
        <v>68</v>
      </c>
      <c r="F22" s="7" t="s">
        <v>69</v>
      </c>
      <c r="G22" s="18" t="s">
        <v>63</v>
      </c>
      <c r="H22" s="7" t="s">
        <v>70</v>
      </c>
      <c r="I22" s="10">
        <v>0.01</v>
      </c>
      <c r="J22" s="10">
        <f t="shared" si="0"/>
        <v>0.01</v>
      </c>
      <c r="K22" s="8" t="s">
        <v>100</v>
      </c>
      <c r="L22" s="11" t="s">
        <v>23</v>
      </c>
      <c r="M22" s="8"/>
    </row>
    <row r="23" spans="1:13" ht="30" customHeight="1" x14ac:dyDescent="0.2">
      <c r="A23" s="13" t="s">
        <v>76</v>
      </c>
      <c r="B23" s="13" t="s">
        <v>101</v>
      </c>
      <c r="C23" s="14" t="s">
        <v>102</v>
      </c>
      <c r="D23" s="13">
        <v>1</v>
      </c>
      <c r="E23" s="13" t="s">
        <v>68</v>
      </c>
      <c r="F23" s="13" t="s">
        <v>103</v>
      </c>
      <c r="G23" s="18" t="s">
        <v>63</v>
      </c>
      <c r="H23" s="13" t="s">
        <v>70</v>
      </c>
      <c r="I23" s="16">
        <v>0.01</v>
      </c>
      <c r="J23" s="16">
        <f t="shared" si="0"/>
        <v>0.01</v>
      </c>
      <c r="K23" s="14" t="s">
        <v>104</v>
      </c>
      <c r="L23" s="17" t="s">
        <v>23</v>
      </c>
      <c r="M23" s="14"/>
    </row>
    <row r="24" spans="1:13" ht="18" customHeight="1" x14ac:dyDescent="0.2">
      <c r="A24" s="3" t="s">
        <v>105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0" customHeight="1" x14ac:dyDescent="0.2">
      <c r="A25" s="7" t="s">
        <v>106</v>
      </c>
      <c r="B25" s="7" t="s">
        <v>107</v>
      </c>
      <c r="C25" s="8" t="s">
        <v>108</v>
      </c>
      <c r="D25" s="7">
        <v>1</v>
      </c>
      <c r="E25" s="7" t="s">
        <v>109</v>
      </c>
      <c r="F25" s="7" t="s">
        <v>110</v>
      </c>
      <c r="G25" s="15" t="s">
        <v>37</v>
      </c>
      <c r="H25" s="7" t="s">
        <v>111</v>
      </c>
      <c r="I25" s="10">
        <v>4.3899999999999997</v>
      </c>
      <c r="J25" s="10">
        <f t="shared" ref="J25:J34" si="1">D25*I25</f>
        <v>4.3899999999999997</v>
      </c>
      <c r="K25" s="8" t="s">
        <v>112</v>
      </c>
      <c r="L25" s="11" t="s">
        <v>23</v>
      </c>
      <c r="M25" s="8"/>
    </row>
    <row r="26" spans="1:13" ht="30" customHeight="1" x14ac:dyDescent="0.2">
      <c r="A26" s="13" t="s">
        <v>106</v>
      </c>
      <c r="B26" s="13" t="s">
        <v>113</v>
      </c>
      <c r="C26" s="14" t="s">
        <v>114</v>
      </c>
      <c r="D26" s="13">
        <v>1</v>
      </c>
      <c r="E26" s="13" t="s">
        <v>68</v>
      </c>
      <c r="F26" s="13" t="s">
        <v>69</v>
      </c>
      <c r="G26" s="18" t="s">
        <v>63</v>
      </c>
      <c r="H26" s="13" t="s">
        <v>70</v>
      </c>
      <c r="I26" s="16">
        <v>0.01</v>
      </c>
      <c r="J26" s="16">
        <f t="shared" si="1"/>
        <v>0.01</v>
      </c>
      <c r="K26" s="14" t="s">
        <v>115</v>
      </c>
      <c r="L26" s="17" t="s">
        <v>23</v>
      </c>
      <c r="M26" s="14"/>
    </row>
    <row r="27" spans="1:13" ht="30" customHeight="1" x14ac:dyDescent="0.2">
      <c r="A27" s="7" t="s">
        <v>106</v>
      </c>
      <c r="B27" s="7" t="s">
        <v>116</v>
      </c>
      <c r="C27" s="8" t="s">
        <v>96</v>
      </c>
      <c r="D27" s="7">
        <v>1</v>
      </c>
      <c r="E27" s="7" t="s">
        <v>68</v>
      </c>
      <c r="F27" s="7" t="s">
        <v>69</v>
      </c>
      <c r="G27" s="18" t="s">
        <v>63</v>
      </c>
      <c r="H27" s="7" t="s">
        <v>70</v>
      </c>
      <c r="I27" s="10">
        <v>0.01</v>
      </c>
      <c r="J27" s="10">
        <f t="shared" si="1"/>
        <v>0.01</v>
      </c>
      <c r="K27" s="8" t="s">
        <v>117</v>
      </c>
      <c r="L27" s="11" t="s">
        <v>23</v>
      </c>
      <c r="M27" s="8"/>
    </row>
    <row r="28" spans="1:13" ht="30" customHeight="1" x14ac:dyDescent="0.2">
      <c r="A28" s="13" t="s">
        <v>106</v>
      </c>
      <c r="B28" s="13" t="s">
        <v>118</v>
      </c>
      <c r="C28" s="14" t="s">
        <v>119</v>
      </c>
      <c r="D28" s="13">
        <v>1</v>
      </c>
      <c r="E28" s="13" t="s">
        <v>68</v>
      </c>
      <c r="F28" s="13" t="s">
        <v>69</v>
      </c>
      <c r="G28" s="18" t="s">
        <v>63</v>
      </c>
      <c r="H28" s="13" t="s">
        <v>70</v>
      </c>
      <c r="I28" s="16">
        <v>0.01</v>
      </c>
      <c r="J28" s="16">
        <f t="shared" si="1"/>
        <v>0.01</v>
      </c>
      <c r="K28" s="14" t="s">
        <v>120</v>
      </c>
      <c r="L28" s="17" t="s">
        <v>23</v>
      </c>
      <c r="M28" s="14"/>
    </row>
    <row r="29" spans="1:13" ht="30" customHeight="1" x14ac:dyDescent="0.2">
      <c r="A29" s="7" t="s">
        <v>106</v>
      </c>
      <c r="B29" s="7" t="s">
        <v>121</v>
      </c>
      <c r="C29" s="8" t="s">
        <v>122</v>
      </c>
      <c r="D29" s="7">
        <v>1</v>
      </c>
      <c r="E29" s="7" t="s">
        <v>68</v>
      </c>
      <c r="F29" s="7" t="s">
        <v>69</v>
      </c>
      <c r="G29" s="18" t="s">
        <v>63</v>
      </c>
      <c r="H29" s="7" t="s">
        <v>70</v>
      </c>
      <c r="I29" s="10">
        <v>0.01</v>
      </c>
      <c r="J29" s="10">
        <f t="shared" si="1"/>
        <v>0.01</v>
      </c>
      <c r="K29" s="8" t="s">
        <v>123</v>
      </c>
      <c r="L29" s="11" t="s">
        <v>23</v>
      </c>
      <c r="M29" s="8"/>
    </row>
    <row r="30" spans="1:13" ht="30" customHeight="1" x14ac:dyDescent="0.2">
      <c r="A30" s="13" t="s">
        <v>106</v>
      </c>
      <c r="B30" s="13" t="s">
        <v>124</v>
      </c>
      <c r="C30" s="14" t="s">
        <v>102</v>
      </c>
      <c r="D30" s="13">
        <v>1</v>
      </c>
      <c r="E30" s="13" t="s">
        <v>68</v>
      </c>
      <c r="F30" s="13" t="s">
        <v>103</v>
      </c>
      <c r="G30" s="18" t="s">
        <v>63</v>
      </c>
      <c r="H30" s="13" t="s">
        <v>70</v>
      </c>
      <c r="I30" s="16">
        <v>0.01</v>
      </c>
      <c r="J30" s="16">
        <f t="shared" si="1"/>
        <v>0.01</v>
      </c>
      <c r="K30" s="14" t="s">
        <v>125</v>
      </c>
      <c r="L30" s="17" t="s">
        <v>23</v>
      </c>
      <c r="M30" s="14"/>
    </row>
    <row r="31" spans="1:13" ht="30" customHeight="1" x14ac:dyDescent="0.2">
      <c r="A31" s="7" t="s">
        <v>106</v>
      </c>
      <c r="B31" s="7" t="s">
        <v>126</v>
      </c>
      <c r="C31" s="8" t="s">
        <v>127</v>
      </c>
      <c r="D31" s="7">
        <v>1</v>
      </c>
      <c r="E31" s="7" t="s">
        <v>68</v>
      </c>
      <c r="F31" s="7" t="s">
        <v>69</v>
      </c>
      <c r="G31" s="18" t="s">
        <v>63</v>
      </c>
      <c r="H31" s="7" t="s">
        <v>70</v>
      </c>
      <c r="I31" s="10">
        <v>0.02</v>
      </c>
      <c r="J31" s="10">
        <f t="shared" si="1"/>
        <v>0.02</v>
      </c>
      <c r="K31" s="8" t="s">
        <v>128</v>
      </c>
      <c r="L31" s="11" t="s">
        <v>23</v>
      </c>
      <c r="M31" s="8"/>
    </row>
    <row r="32" spans="1:13" ht="30" customHeight="1" x14ac:dyDescent="0.2">
      <c r="A32" s="13" t="s">
        <v>106</v>
      </c>
      <c r="B32" s="13" t="s">
        <v>129</v>
      </c>
      <c r="C32" s="14" t="s">
        <v>130</v>
      </c>
      <c r="D32" s="13">
        <v>1</v>
      </c>
      <c r="E32" s="13" t="s">
        <v>68</v>
      </c>
      <c r="F32" s="13" t="s">
        <v>69</v>
      </c>
      <c r="G32" s="18" t="s">
        <v>63</v>
      </c>
      <c r="H32" s="13" t="s">
        <v>70</v>
      </c>
      <c r="I32" s="16">
        <v>0.02</v>
      </c>
      <c r="J32" s="16">
        <f t="shared" si="1"/>
        <v>0.02</v>
      </c>
      <c r="K32" s="14" t="s">
        <v>131</v>
      </c>
      <c r="L32" s="17" t="s">
        <v>23</v>
      </c>
      <c r="M32" s="14"/>
    </row>
    <row r="33" spans="1:13" ht="30" customHeight="1" x14ac:dyDescent="0.2">
      <c r="A33" s="7" t="s">
        <v>106</v>
      </c>
      <c r="B33" s="7" t="s">
        <v>132</v>
      </c>
      <c r="C33" s="8" t="s">
        <v>133</v>
      </c>
      <c r="D33" s="7">
        <v>1</v>
      </c>
      <c r="E33" s="7" t="s">
        <v>68</v>
      </c>
      <c r="F33" s="7" t="s">
        <v>69</v>
      </c>
      <c r="G33" s="18" t="s">
        <v>63</v>
      </c>
      <c r="H33" s="7" t="s">
        <v>70</v>
      </c>
      <c r="I33" s="10">
        <v>0.02</v>
      </c>
      <c r="J33" s="10">
        <f t="shared" si="1"/>
        <v>0.02</v>
      </c>
      <c r="K33" s="8" t="s">
        <v>134</v>
      </c>
      <c r="L33" s="11" t="s">
        <v>23</v>
      </c>
      <c r="M33" s="8"/>
    </row>
    <row r="34" spans="1:13" ht="30" customHeight="1" x14ac:dyDescent="0.2">
      <c r="A34" s="13" t="s">
        <v>106</v>
      </c>
      <c r="B34" s="13" t="s">
        <v>135</v>
      </c>
      <c r="C34" s="14" t="s">
        <v>136</v>
      </c>
      <c r="D34" s="13">
        <v>1</v>
      </c>
      <c r="E34" s="13" t="s">
        <v>61</v>
      </c>
      <c r="F34" s="13" t="s">
        <v>137</v>
      </c>
      <c r="G34" s="18" t="s">
        <v>63</v>
      </c>
      <c r="H34" s="13" t="s">
        <v>64</v>
      </c>
      <c r="I34" s="16">
        <v>0.05</v>
      </c>
      <c r="J34" s="16">
        <f t="shared" si="1"/>
        <v>0.05</v>
      </c>
      <c r="K34" s="14" t="s">
        <v>138</v>
      </c>
      <c r="L34" s="17" t="s">
        <v>23</v>
      </c>
      <c r="M34" s="14"/>
    </row>
    <row r="35" spans="1:13" ht="18" customHeight="1" x14ac:dyDescent="0.2">
      <c r="A35" s="3" t="s">
        <v>139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30" customHeight="1" x14ac:dyDescent="0.2">
      <c r="A36" s="7" t="s">
        <v>139</v>
      </c>
      <c r="B36" s="7" t="s">
        <v>140</v>
      </c>
      <c r="C36" s="8" t="s">
        <v>141</v>
      </c>
      <c r="D36" s="7">
        <v>1</v>
      </c>
      <c r="E36" s="7" t="s">
        <v>49</v>
      </c>
      <c r="F36" s="7" t="s">
        <v>142</v>
      </c>
      <c r="G36" s="9" t="s">
        <v>20</v>
      </c>
      <c r="H36" s="7" t="s">
        <v>51</v>
      </c>
      <c r="I36" s="10">
        <v>0.6</v>
      </c>
      <c r="J36" s="10">
        <f>D36*I36</f>
        <v>0.6</v>
      </c>
      <c r="K36" s="8" t="s">
        <v>143</v>
      </c>
      <c r="L36" s="11" t="s">
        <v>23</v>
      </c>
      <c r="M36" s="8"/>
    </row>
    <row r="37" spans="1:13" ht="30" customHeight="1" x14ac:dyDescent="0.2">
      <c r="A37" s="13" t="s">
        <v>139</v>
      </c>
      <c r="B37" s="13" t="s">
        <v>144</v>
      </c>
      <c r="C37" s="14" t="s">
        <v>145</v>
      </c>
      <c r="D37" s="13">
        <v>1</v>
      </c>
      <c r="E37" s="13" t="s">
        <v>91</v>
      </c>
      <c r="F37" s="13" t="s">
        <v>146</v>
      </c>
      <c r="G37" s="9" t="s">
        <v>20</v>
      </c>
      <c r="H37" s="13" t="s">
        <v>147</v>
      </c>
      <c r="I37" s="16">
        <v>0.25</v>
      </c>
      <c r="J37" s="16">
        <f>D37*I37</f>
        <v>0.25</v>
      </c>
      <c r="K37" s="14" t="s">
        <v>148</v>
      </c>
      <c r="L37" s="17" t="s">
        <v>23</v>
      </c>
      <c r="M37" s="14"/>
    </row>
    <row r="38" spans="1:13" ht="30" customHeight="1" x14ac:dyDescent="0.2">
      <c r="A38" s="7" t="s">
        <v>139</v>
      </c>
      <c r="B38" s="7" t="s">
        <v>149</v>
      </c>
      <c r="C38" s="8" t="s">
        <v>150</v>
      </c>
      <c r="D38" s="7">
        <v>1</v>
      </c>
      <c r="E38" s="7" t="s">
        <v>68</v>
      </c>
      <c r="F38" s="7" t="s">
        <v>69</v>
      </c>
      <c r="G38" s="18" t="s">
        <v>63</v>
      </c>
      <c r="H38" s="7" t="s">
        <v>70</v>
      </c>
      <c r="I38" s="10">
        <v>0.01</v>
      </c>
      <c r="J38" s="10">
        <f>D38*I38</f>
        <v>0.01</v>
      </c>
      <c r="K38" s="8" t="s">
        <v>151</v>
      </c>
      <c r="L38" s="11" t="s">
        <v>23</v>
      </c>
      <c r="M38" s="8"/>
    </row>
    <row r="39" spans="1:13" ht="18" customHeight="1" x14ac:dyDescent="0.2">
      <c r="A39" s="3" t="s">
        <v>152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30" customHeight="1" x14ac:dyDescent="0.2">
      <c r="A40" s="7" t="s">
        <v>153</v>
      </c>
      <c r="B40" s="7" t="s">
        <v>154</v>
      </c>
      <c r="C40" s="8" t="s">
        <v>155</v>
      </c>
      <c r="D40" s="7">
        <v>1</v>
      </c>
      <c r="E40" s="7" t="s">
        <v>109</v>
      </c>
      <c r="F40" s="7" t="s">
        <v>156</v>
      </c>
      <c r="G40" s="9" t="s">
        <v>20</v>
      </c>
      <c r="H40" s="7" t="s">
        <v>57</v>
      </c>
      <c r="I40" s="10">
        <v>0.8</v>
      </c>
      <c r="J40" s="10">
        <f t="shared" ref="J40:J50" si="2">D40*I40</f>
        <v>0.8</v>
      </c>
      <c r="K40" s="8" t="s">
        <v>157</v>
      </c>
      <c r="L40" s="11" t="s">
        <v>23</v>
      </c>
      <c r="M40" s="8"/>
    </row>
    <row r="41" spans="1:13" ht="30" customHeight="1" x14ac:dyDescent="0.2">
      <c r="A41" s="13" t="s">
        <v>153</v>
      </c>
      <c r="B41" s="13" t="s">
        <v>158</v>
      </c>
      <c r="C41" s="14" t="s">
        <v>159</v>
      </c>
      <c r="D41" s="13">
        <v>1</v>
      </c>
      <c r="E41" s="13" t="s">
        <v>160</v>
      </c>
      <c r="F41" s="13" t="s">
        <v>161</v>
      </c>
      <c r="G41" s="18" t="s">
        <v>63</v>
      </c>
      <c r="H41" s="13" t="s">
        <v>162</v>
      </c>
      <c r="I41" s="16">
        <v>0.2</v>
      </c>
      <c r="J41" s="16">
        <f t="shared" si="2"/>
        <v>0.2</v>
      </c>
      <c r="K41" s="14" t="s">
        <v>163</v>
      </c>
      <c r="L41" s="17" t="s">
        <v>23</v>
      </c>
      <c r="M41" s="14"/>
    </row>
    <row r="42" spans="1:13" ht="30" customHeight="1" x14ac:dyDescent="0.2">
      <c r="A42" s="7" t="s">
        <v>153</v>
      </c>
      <c r="B42" s="7" t="s">
        <v>164</v>
      </c>
      <c r="C42" s="8" t="s">
        <v>165</v>
      </c>
      <c r="D42" s="7">
        <v>1</v>
      </c>
      <c r="E42" s="7" t="s">
        <v>166</v>
      </c>
      <c r="F42" s="7" t="s">
        <v>167</v>
      </c>
      <c r="G42" s="9" t="s">
        <v>20</v>
      </c>
      <c r="H42" s="7" t="s">
        <v>168</v>
      </c>
      <c r="I42" s="10">
        <v>0.4</v>
      </c>
      <c r="J42" s="10">
        <f t="shared" si="2"/>
        <v>0.4</v>
      </c>
      <c r="K42" s="8" t="s">
        <v>169</v>
      </c>
      <c r="L42" s="11" t="s">
        <v>23</v>
      </c>
      <c r="M42" s="8"/>
    </row>
    <row r="43" spans="1:13" ht="30" customHeight="1" x14ac:dyDescent="0.2">
      <c r="A43" s="13" t="s">
        <v>153</v>
      </c>
      <c r="B43" s="13" t="s">
        <v>170</v>
      </c>
      <c r="C43" s="14" t="s">
        <v>171</v>
      </c>
      <c r="D43" s="13">
        <v>2</v>
      </c>
      <c r="E43" s="13" t="s">
        <v>172</v>
      </c>
      <c r="F43" s="13" t="s">
        <v>173</v>
      </c>
      <c r="G43" s="18" t="s">
        <v>63</v>
      </c>
      <c r="H43" s="13" t="s">
        <v>162</v>
      </c>
      <c r="I43" s="16">
        <v>0.1</v>
      </c>
      <c r="J43" s="16">
        <f t="shared" si="2"/>
        <v>0.2</v>
      </c>
      <c r="K43" s="14" t="s">
        <v>174</v>
      </c>
      <c r="L43" s="17" t="s">
        <v>23</v>
      </c>
      <c r="M43" s="14"/>
    </row>
    <row r="44" spans="1:13" ht="30" customHeight="1" x14ac:dyDescent="0.2">
      <c r="A44" s="7" t="s">
        <v>153</v>
      </c>
      <c r="B44" s="7" t="s">
        <v>175</v>
      </c>
      <c r="C44" s="8" t="s">
        <v>176</v>
      </c>
      <c r="D44" s="7">
        <v>1</v>
      </c>
      <c r="E44" s="7" t="s">
        <v>55</v>
      </c>
      <c r="F44" s="7" t="s">
        <v>177</v>
      </c>
      <c r="G44" s="9" t="s">
        <v>20</v>
      </c>
      <c r="H44" s="7" t="s">
        <v>93</v>
      </c>
      <c r="I44" s="10">
        <v>0.3</v>
      </c>
      <c r="J44" s="10">
        <f t="shared" si="2"/>
        <v>0.3</v>
      </c>
      <c r="K44" s="8" t="s">
        <v>178</v>
      </c>
      <c r="L44" s="11" t="s">
        <v>23</v>
      </c>
      <c r="M44" s="8"/>
    </row>
    <row r="45" spans="1:13" ht="30" customHeight="1" x14ac:dyDescent="0.2">
      <c r="A45" s="13" t="s">
        <v>153</v>
      </c>
      <c r="B45" s="13" t="s">
        <v>179</v>
      </c>
      <c r="C45" s="14" t="s">
        <v>180</v>
      </c>
      <c r="D45" s="13">
        <v>1</v>
      </c>
      <c r="E45" s="13" t="s">
        <v>181</v>
      </c>
      <c r="F45" s="13" t="s">
        <v>182</v>
      </c>
      <c r="G45" s="19" t="s">
        <v>81</v>
      </c>
      <c r="H45" s="13" t="s">
        <v>21</v>
      </c>
      <c r="I45" s="16">
        <v>0.35</v>
      </c>
      <c r="J45" s="16">
        <f t="shared" si="2"/>
        <v>0.35</v>
      </c>
      <c r="K45" s="14" t="s">
        <v>183</v>
      </c>
      <c r="L45" s="17" t="s">
        <v>23</v>
      </c>
      <c r="M45" s="14"/>
    </row>
    <row r="46" spans="1:13" ht="30" customHeight="1" x14ac:dyDescent="0.2">
      <c r="A46" s="7" t="s">
        <v>153</v>
      </c>
      <c r="B46" s="7" t="s">
        <v>184</v>
      </c>
      <c r="C46" s="8" t="s">
        <v>185</v>
      </c>
      <c r="D46" s="7">
        <v>1</v>
      </c>
      <c r="E46" s="7" t="s">
        <v>186</v>
      </c>
      <c r="F46" s="7" t="s">
        <v>187</v>
      </c>
      <c r="G46" s="19" t="s">
        <v>81</v>
      </c>
      <c r="H46" s="7" t="s">
        <v>51</v>
      </c>
      <c r="I46" s="10">
        <v>0.15</v>
      </c>
      <c r="J46" s="10">
        <f t="shared" si="2"/>
        <v>0.15</v>
      </c>
      <c r="K46" s="8" t="s">
        <v>188</v>
      </c>
      <c r="L46" s="11" t="s">
        <v>23</v>
      </c>
      <c r="M46" s="8"/>
    </row>
    <row r="47" spans="1:13" ht="30" customHeight="1" x14ac:dyDescent="0.2">
      <c r="A47" s="13" t="s">
        <v>153</v>
      </c>
      <c r="B47" s="13" t="s">
        <v>189</v>
      </c>
      <c r="C47" s="14" t="s">
        <v>190</v>
      </c>
      <c r="D47" s="13">
        <v>2</v>
      </c>
      <c r="E47" s="13" t="s">
        <v>191</v>
      </c>
      <c r="F47" s="13" t="s">
        <v>192</v>
      </c>
      <c r="G47" s="18" t="s">
        <v>63</v>
      </c>
      <c r="H47" s="13" t="s">
        <v>70</v>
      </c>
      <c r="I47" s="16">
        <v>0.03</v>
      </c>
      <c r="J47" s="16">
        <f t="shared" si="2"/>
        <v>0.06</v>
      </c>
      <c r="K47" s="14" t="s">
        <v>193</v>
      </c>
      <c r="L47" s="17" t="s">
        <v>23</v>
      </c>
      <c r="M47" s="14"/>
    </row>
    <row r="48" spans="1:13" ht="30" customHeight="1" x14ac:dyDescent="0.2">
      <c r="A48" s="7" t="s">
        <v>153</v>
      </c>
      <c r="B48" s="7" t="s">
        <v>194</v>
      </c>
      <c r="C48" s="8" t="s">
        <v>102</v>
      </c>
      <c r="D48" s="7">
        <v>4</v>
      </c>
      <c r="E48" s="7" t="s">
        <v>68</v>
      </c>
      <c r="F48" s="7" t="s">
        <v>103</v>
      </c>
      <c r="G48" s="18" t="s">
        <v>63</v>
      </c>
      <c r="H48" s="7" t="s">
        <v>70</v>
      </c>
      <c r="I48" s="10">
        <v>0.01</v>
      </c>
      <c r="J48" s="10">
        <f t="shared" si="2"/>
        <v>0.04</v>
      </c>
      <c r="K48" s="8" t="s">
        <v>195</v>
      </c>
      <c r="L48" s="11" t="s">
        <v>23</v>
      </c>
      <c r="M48" s="8"/>
    </row>
    <row r="49" spans="1:13" ht="30" customHeight="1" x14ac:dyDescent="0.2">
      <c r="A49" s="13" t="s">
        <v>153</v>
      </c>
      <c r="B49" s="13" t="s">
        <v>196</v>
      </c>
      <c r="C49" s="14" t="s">
        <v>67</v>
      </c>
      <c r="D49" s="13">
        <v>1</v>
      </c>
      <c r="E49" s="13" t="s">
        <v>68</v>
      </c>
      <c r="F49" s="13" t="s">
        <v>69</v>
      </c>
      <c r="G49" s="18" t="s">
        <v>63</v>
      </c>
      <c r="H49" s="13" t="s">
        <v>70</v>
      </c>
      <c r="I49" s="16">
        <v>0.01</v>
      </c>
      <c r="J49" s="16">
        <f t="shared" si="2"/>
        <v>0.01</v>
      </c>
      <c r="K49" s="14" t="s">
        <v>197</v>
      </c>
      <c r="L49" s="17" t="s">
        <v>23</v>
      </c>
      <c r="M49" s="14"/>
    </row>
    <row r="50" spans="1:13" ht="30" customHeight="1" x14ac:dyDescent="0.2">
      <c r="A50" s="7" t="s">
        <v>153</v>
      </c>
      <c r="B50" s="7" t="s">
        <v>198</v>
      </c>
      <c r="C50" s="8" t="s">
        <v>199</v>
      </c>
      <c r="D50" s="7">
        <v>1</v>
      </c>
      <c r="E50" s="7" t="s">
        <v>200</v>
      </c>
      <c r="F50" s="7" t="s">
        <v>201</v>
      </c>
      <c r="G50" s="19" t="s">
        <v>81</v>
      </c>
      <c r="H50" s="7" t="s">
        <v>57</v>
      </c>
      <c r="I50" s="10">
        <v>0.15</v>
      </c>
      <c r="J50" s="10">
        <f t="shared" si="2"/>
        <v>0.15</v>
      </c>
      <c r="K50" s="8" t="s">
        <v>202</v>
      </c>
      <c r="L50" s="11" t="s">
        <v>23</v>
      </c>
      <c r="M50" s="8"/>
    </row>
    <row r="51" spans="1:13" ht="18" customHeight="1" x14ac:dyDescent="0.2">
      <c r="A51" s="3" t="s">
        <v>203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30" customHeight="1" x14ac:dyDescent="0.2">
      <c r="A52" s="7" t="s">
        <v>203</v>
      </c>
      <c r="B52" s="7" t="s">
        <v>204</v>
      </c>
      <c r="C52" s="8" t="s">
        <v>205</v>
      </c>
      <c r="D52" s="7">
        <v>1</v>
      </c>
      <c r="E52" s="7" t="s">
        <v>206</v>
      </c>
      <c r="F52" s="7" t="s">
        <v>207</v>
      </c>
      <c r="G52" s="9" t="s">
        <v>20</v>
      </c>
      <c r="H52" s="7" t="s">
        <v>21</v>
      </c>
      <c r="I52" s="10">
        <v>1.37</v>
      </c>
      <c r="J52" s="10">
        <f>D52*I52</f>
        <v>1.37</v>
      </c>
      <c r="K52" s="8" t="s">
        <v>208</v>
      </c>
      <c r="L52" s="11" t="s">
        <v>23</v>
      </c>
      <c r="M52" s="8"/>
    </row>
    <row r="53" spans="1:13" ht="30" customHeight="1" x14ac:dyDescent="0.2">
      <c r="A53" s="13" t="s">
        <v>203</v>
      </c>
      <c r="B53" s="13" t="s">
        <v>209</v>
      </c>
      <c r="C53" s="14" t="s">
        <v>210</v>
      </c>
      <c r="D53" s="13">
        <v>1</v>
      </c>
      <c r="E53" s="13" t="s">
        <v>211</v>
      </c>
      <c r="F53" s="13" t="s">
        <v>212</v>
      </c>
      <c r="G53" s="9" t="s">
        <v>20</v>
      </c>
      <c r="H53" s="13" t="s">
        <v>213</v>
      </c>
      <c r="I53" s="16">
        <v>0.81</v>
      </c>
      <c r="J53" s="16">
        <f>D53*I53</f>
        <v>0.81</v>
      </c>
      <c r="K53" s="14" t="s">
        <v>214</v>
      </c>
      <c r="L53" s="17" t="s">
        <v>23</v>
      </c>
      <c r="M53" s="14"/>
    </row>
    <row r="54" spans="1:13" ht="30" customHeight="1" x14ac:dyDescent="0.2">
      <c r="A54" s="7" t="s">
        <v>203</v>
      </c>
      <c r="B54" s="7" t="s">
        <v>215</v>
      </c>
      <c r="C54" s="8" t="s">
        <v>216</v>
      </c>
      <c r="D54" s="7">
        <v>2</v>
      </c>
      <c r="E54" s="7" t="s">
        <v>61</v>
      </c>
      <c r="F54" s="7" t="s">
        <v>217</v>
      </c>
      <c r="G54" s="18" t="s">
        <v>63</v>
      </c>
      <c r="H54" s="7" t="s">
        <v>162</v>
      </c>
      <c r="I54" s="10">
        <v>0.02</v>
      </c>
      <c r="J54" s="10">
        <f>D54*I54</f>
        <v>0.04</v>
      </c>
      <c r="K54" s="8" t="s">
        <v>218</v>
      </c>
      <c r="L54" s="11" t="s">
        <v>23</v>
      </c>
      <c r="M54" s="8"/>
    </row>
    <row r="55" spans="1:13" ht="30" customHeight="1" x14ac:dyDescent="0.2">
      <c r="A55" s="13" t="s">
        <v>203</v>
      </c>
      <c r="B55" s="13" t="s">
        <v>219</v>
      </c>
      <c r="C55" s="14" t="s">
        <v>220</v>
      </c>
      <c r="D55" s="13">
        <v>2</v>
      </c>
      <c r="E55" s="13" t="s">
        <v>68</v>
      </c>
      <c r="F55" s="13" t="s">
        <v>69</v>
      </c>
      <c r="G55" s="18" t="s">
        <v>63</v>
      </c>
      <c r="H55" s="13" t="s">
        <v>70</v>
      </c>
      <c r="I55" s="16">
        <v>0.01</v>
      </c>
      <c r="J55" s="16">
        <f>D55*I55</f>
        <v>0.02</v>
      </c>
      <c r="K55" s="14" t="s">
        <v>221</v>
      </c>
      <c r="L55" s="17" t="s">
        <v>23</v>
      </c>
      <c r="M55" s="14"/>
    </row>
    <row r="56" spans="1:13" ht="30" customHeight="1" x14ac:dyDescent="0.2">
      <c r="A56" s="7" t="s">
        <v>203</v>
      </c>
      <c r="B56" s="7" t="s">
        <v>222</v>
      </c>
      <c r="C56" s="8" t="s">
        <v>102</v>
      </c>
      <c r="D56" s="7">
        <v>2</v>
      </c>
      <c r="E56" s="7" t="s">
        <v>68</v>
      </c>
      <c r="F56" s="7" t="s">
        <v>103</v>
      </c>
      <c r="G56" s="18" t="s">
        <v>63</v>
      </c>
      <c r="H56" s="7" t="s">
        <v>70</v>
      </c>
      <c r="I56" s="10">
        <v>0.01</v>
      </c>
      <c r="J56" s="10">
        <f>D56*I56</f>
        <v>0.02</v>
      </c>
      <c r="K56" s="8" t="s">
        <v>223</v>
      </c>
      <c r="L56" s="11" t="s">
        <v>23</v>
      </c>
      <c r="M56" s="8"/>
    </row>
    <row r="57" spans="1:13" ht="18" customHeight="1" x14ac:dyDescent="0.2">
      <c r="A57" s="3" t="s">
        <v>224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30" customHeight="1" x14ac:dyDescent="0.2">
      <c r="A58" s="7" t="s">
        <v>225</v>
      </c>
      <c r="B58" s="7" t="s">
        <v>69</v>
      </c>
      <c r="C58" s="8" t="s">
        <v>226</v>
      </c>
      <c r="D58" s="7">
        <v>1</v>
      </c>
      <c r="E58" s="7" t="s">
        <v>69</v>
      </c>
      <c r="F58" s="7" t="s">
        <v>69</v>
      </c>
      <c r="G58" s="19" t="s">
        <v>81</v>
      </c>
      <c r="H58" s="7" t="s">
        <v>69</v>
      </c>
      <c r="I58" s="10">
        <v>7</v>
      </c>
      <c r="J58" s="10">
        <f t="shared" ref="J58:J64" si="3">D58*I58</f>
        <v>7</v>
      </c>
      <c r="K58" s="8" t="s">
        <v>227</v>
      </c>
      <c r="L58" s="11" t="s">
        <v>23</v>
      </c>
      <c r="M58" s="8"/>
    </row>
    <row r="59" spans="1:13" ht="30" customHeight="1" x14ac:dyDescent="0.2">
      <c r="A59" s="13" t="s">
        <v>225</v>
      </c>
      <c r="B59" s="13" t="s">
        <v>69</v>
      </c>
      <c r="C59" s="14" t="s">
        <v>228</v>
      </c>
      <c r="D59" s="13">
        <v>4</v>
      </c>
      <c r="E59" s="13" t="s">
        <v>69</v>
      </c>
      <c r="F59" s="13" t="s">
        <v>69</v>
      </c>
      <c r="G59" s="19" t="s">
        <v>81</v>
      </c>
      <c r="H59" s="13" t="s">
        <v>69</v>
      </c>
      <c r="I59" s="16">
        <v>0.5</v>
      </c>
      <c r="J59" s="16">
        <f t="shared" si="3"/>
        <v>2</v>
      </c>
      <c r="K59" s="14" t="s">
        <v>229</v>
      </c>
      <c r="L59" s="17" t="s">
        <v>23</v>
      </c>
      <c r="M59" s="14"/>
    </row>
    <row r="60" spans="1:13" ht="30" customHeight="1" x14ac:dyDescent="0.2">
      <c r="A60" s="7" t="s">
        <v>225</v>
      </c>
      <c r="B60" s="7" t="s">
        <v>69</v>
      </c>
      <c r="C60" s="8" t="s">
        <v>230</v>
      </c>
      <c r="D60" s="7">
        <v>1</v>
      </c>
      <c r="E60" s="7" t="s">
        <v>69</v>
      </c>
      <c r="F60" s="7" t="s">
        <v>69</v>
      </c>
      <c r="G60" s="19" t="s">
        <v>81</v>
      </c>
      <c r="H60" s="7" t="s">
        <v>69</v>
      </c>
      <c r="I60" s="10">
        <v>1.5</v>
      </c>
      <c r="J60" s="10">
        <f t="shared" si="3"/>
        <v>1.5</v>
      </c>
      <c r="K60" s="8" t="s">
        <v>231</v>
      </c>
      <c r="L60" s="11" t="s">
        <v>23</v>
      </c>
      <c r="M60" s="8"/>
    </row>
    <row r="61" spans="1:13" ht="30" customHeight="1" x14ac:dyDescent="0.2">
      <c r="A61" s="13" t="s">
        <v>225</v>
      </c>
      <c r="B61" s="13" t="s">
        <v>69</v>
      </c>
      <c r="C61" s="14" t="s">
        <v>232</v>
      </c>
      <c r="D61" s="13">
        <v>1</v>
      </c>
      <c r="E61" s="13" t="s">
        <v>69</v>
      </c>
      <c r="F61" s="13" t="s">
        <v>69</v>
      </c>
      <c r="G61" s="19" t="s">
        <v>81</v>
      </c>
      <c r="H61" s="13" t="s">
        <v>69</v>
      </c>
      <c r="I61" s="16">
        <v>2</v>
      </c>
      <c r="J61" s="16">
        <f t="shared" si="3"/>
        <v>2</v>
      </c>
      <c r="K61" s="14" t="s">
        <v>233</v>
      </c>
      <c r="L61" s="17" t="s">
        <v>23</v>
      </c>
      <c r="M61" s="14"/>
    </row>
    <row r="62" spans="1:13" ht="30" customHeight="1" x14ac:dyDescent="0.2">
      <c r="A62" s="7" t="s">
        <v>225</v>
      </c>
      <c r="B62" s="7" t="s">
        <v>69</v>
      </c>
      <c r="C62" s="8" t="s">
        <v>234</v>
      </c>
      <c r="D62" s="7">
        <v>1</v>
      </c>
      <c r="E62" s="7" t="s">
        <v>69</v>
      </c>
      <c r="F62" s="7" t="s">
        <v>69</v>
      </c>
      <c r="G62" s="19" t="s">
        <v>81</v>
      </c>
      <c r="H62" s="7" t="s">
        <v>69</v>
      </c>
      <c r="I62" s="10">
        <v>5</v>
      </c>
      <c r="J62" s="10">
        <f t="shared" si="3"/>
        <v>5</v>
      </c>
      <c r="K62" s="8" t="s">
        <v>235</v>
      </c>
      <c r="L62" s="11" t="s">
        <v>23</v>
      </c>
      <c r="M62" s="8"/>
    </row>
    <row r="63" spans="1:13" ht="30" customHeight="1" x14ac:dyDescent="0.2">
      <c r="A63" s="13" t="s">
        <v>225</v>
      </c>
      <c r="B63" s="13" t="s">
        <v>69</v>
      </c>
      <c r="C63" s="14" t="s">
        <v>236</v>
      </c>
      <c r="D63" s="13">
        <v>1</v>
      </c>
      <c r="E63" s="13" t="s">
        <v>69</v>
      </c>
      <c r="F63" s="13" t="s">
        <v>69</v>
      </c>
      <c r="G63" s="19" t="s">
        <v>81</v>
      </c>
      <c r="H63" s="13" t="s">
        <v>69</v>
      </c>
      <c r="I63" s="16">
        <v>4.5</v>
      </c>
      <c r="J63" s="16">
        <f t="shared" si="3"/>
        <v>4.5</v>
      </c>
      <c r="K63" s="14" t="s">
        <v>237</v>
      </c>
      <c r="L63" s="17" t="s">
        <v>23</v>
      </c>
      <c r="M63" s="14"/>
    </row>
    <row r="64" spans="1:13" ht="30" customHeight="1" x14ac:dyDescent="0.2">
      <c r="A64" s="7" t="s">
        <v>225</v>
      </c>
      <c r="B64" s="7" t="s">
        <v>69</v>
      </c>
      <c r="C64" s="8" t="s">
        <v>238</v>
      </c>
      <c r="D64" s="7">
        <v>1</v>
      </c>
      <c r="E64" s="7" t="s">
        <v>69</v>
      </c>
      <c r="F64" s="7" t="s">
        <v>69</v>
      </c>
      <c r="G64" s="19" t="s">
        <v>81</v>
      </c>
      <c r="H64" s="7" t="s">
        <v>69</v>
      </c>
      <c r="I64" s="10">
        <v>1</v>
      </c>
      <c r="J64" s="10">
        <f t="shared" si="3"/>
        <v>1</v>
      </c>
      <c r="K64" s="8" t="s">
        <v>239</v>
      </c>
      <c r="L64" s="11" t="s">
        <v>23</v>
      </c>
      <c r="M64" s="8"/>
    </row>
    <row r="65" spans="1:13" ht="24" customHeight="1" x14ac:dyDescent="0.2">
      <c r="A65" s="2" t="s">
        <v>240</v>
      </c>
      <c r="B65" s="2"/>
      <c r="C65" s="2"/>
      <c r="D65" s="2"/>
      <c r="E65" s="2"/>
      <c r="F65" s="2"/>
      <c r="G65" s="2"/>
      <c r="H65" s="2"/>
      <c r="I65" s="2"/>
      <c r="J65" s="20">
        <f>SUM(J5:J64)</f>
        <v>45.49</v>
      </c>
      <c r="K65" s="21"/>
      <c r="L65" s="21"/>
      <c r="M65" s="21"/>
    </row>
  </sheetData>
  <mergeCells count="12">
    <mergeCell ref="A57:M57"/>
    <mergeCell ref="A65:I65"/>
    <mergeCell ref="A17:M17"/>
    <mergeCell ref="A24:M24"/>
    <mergeCell ref="A35:M35"/>
    <mergeCell ref="A39:M39"/>
    <mergeCell ref="A51:M51"/>
    <mergeCell ref="A1:M1"/>
    <mergeCell ref="A2:M2"/>
    <mergeCell ref="A5:M5"/>
    <mergeCell ref="A7:M7"/>
    <mergeCell ref="A11:M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54" customWidth="1"/>
  </cols>
  <sheetData>
    <row r="1" spans="1:2" ht="19.5" customHeight="1" x14ac:dyDescent="0.2">
      <c r="A1" s="1" t="s">
        <v>241</v>
      </c>
      <c r="B1" s="1"/>
    </row>
    <row r="2" spans="1:2" ht="19.5" customHeight="1" x14ac:dyDescent="0.2">
      <c r="A2" s="22" t="s">
        <v>8</v>
      </c>
      <c r="B2" s="22" t="s">
        <v>242</v>
      </c>
    </row>
    <row r="3" spans="1:2" ht="19.5" customHeight="1" x14ac:dyDescent="0.2">
      <c r="A3" s="23" t="s">
        <v>20</v>
      </c>
      <c r="B3" s="24" t="s">
        <v>243</v>
      </c>
    </row>
    <row r="4" spans="1:2" ht="19.5" customHeight="1" x14ac:dyDescent="0.2">
      <c r="A4" s="25" t="s">
        <v>30</v>
      </c>
      <c r="B4" s="24" t="s">
        <v>244</v>
      </c>
    </row>
    <row r="5" spans="1:2" ht="19.5" customHeight="1" x14ac:dyDescent="0.2">
      <c r="A5" s="26" t="s">
        <v>37</v>
      </c>
      <c r="B5" s="24" t="s">
        <v>245</v>
      </c>
    </row>
    <row r="6" spans="1:2" ht="19.5" customHeight="1" x14ac:dyDescent="0.2">
      <c r="A6" s="27" t="s">
        <v>81</v>
      </c>
      <c r="B6" s="24" t="s">
        <v>246</v>
      </c>
    </row>
    <row r="7" spans="1:2" ht="19.5" customHeight="1" x14ac:dyDescent="0.2">
      <c r="A7" s="28" t="s">
        <v>63</v>
      </c>
      <c r="B7" s="24" t="s">
        <v>247</v>
      </c>
    </row>
    <row r="8" spans="1:2" ht="19.5" customHeight="1" x14ac:dyDescent="0.2">
      <c r="A8" s="24"/>
      <c r="B8" s="24"/>
    </row>
    <row r="9" spans="1:2" ht="19.5" customHeight="1" x14ac:dyDescent="0.2">
      <c r="A9" s="29" t="s">
        <v>13</v>
      </c>
      <c r="B9" s="24" t="s">
        <v>248</v>
      </c>
    </row>
    <row r="10" spans="1:2" ht="19.5" customHeight="1" x14ac:dyDescent="0.2">
      <c r="A10" s="29" t="s">
        <v>14</v>
      </c>
      <c r="B10" s="24" t="s">
        <v>249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heath lee</cp:lastModifiedBy>
  <cp:revision>0</cp:revision>
  <dcterms:created xsi:type="dcterms:W3CDTF">2026-05-23T21:11:35Z</dcterms:created>
  <dcterms:modified xsi:type="dcterms:W3CDTF">2026-05-23T21:14:24Z</dcterms:modified>
  <dc:language>en-US</dc:language>
</cp:coreProperties>
</file>